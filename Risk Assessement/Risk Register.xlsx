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ky Chauhan\Documents\Roadmap\"/>
    </mc:Choice>
  </mc:AlternateContent>
  <xr:revisionPtr revIDLastSave="0" documentId="13_ncr:1_{2B688F8D-5CB5-4D95-B311-0B23AADE1638}" xr6:coauthVersionLast="47" xr6:coauthVersionMax="47" xr10:uidLastSave="{00000000-0000-0000-0000-000000000000}"/>
  <bookViews>
    <workbookView xWindow="-110" yWindow="-110" windowWidth="19420" windowHeight="11500" xr2:uid="{9C9565DA-0354-4960-BA60-F75949E17111}"/>
  </bookViews>
  <sheets>
    <sheet name="Sheet1" sheetId="1" r:id="rId1"/>
    <sheet name="Scale and 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<sst xmlns="http://schemas.openxmlformats.org/spreadsheetml/2006/main" count="108" uniqueCount="81">
  <si>
    <t>Risk Register</t>
  </si>
  <si>
    <t>IMPACT</t>
  </si>
  <si>
    <t>LIKELIHOOD</t>
  </si>
  <si>
    <t>RISK IMPACT</t>
  </si>
  <si>
    <t>Moderate</t>
  </si>
  <si>
    <t>High</t>
  </si>
  <si>
    <t>Very Low</t>
  </si>
  <si>
    <t>Low</t>
  </si>
  <si>
    <t>RISK LIKELIHOOD</t>
  </si>
  <si>
    <t>1% - 20%</t>
  </si>
  <si>
    <t>21% - 40%</t>
  </si>
  <si>
    <t>41% - 64%</t>
  </si>
  <si>
    <t>65% - 80%</t>
  </si>
  <si>
    <t>80% - 100%</t>
  </si>
  <si>
    <t>RISK HEATMAP</t>
  </si>
  <si>
    <t>Risk ID</t>
  </si>
  <si>
    <t>Risk Description</t>
  </si>
  <si>
    <t>Status</t>
  </si>
  <si>
    <t>Owner</t>
  </si>
  <si>
    <t>Date Identified</t>
  </si>
  <si>
    <t>Last Reviewed</t>
  </si>
  <si>
    <t>Risk Treatment Options</t>
  </si>
  <si>
    <t>Additional Notes</t>
  </si>
  <si>
    <t>Risk Type</t>
  </si>
  <si>
    <t>There is a risk of unauthorized access to core business applications due to weak identity and access management controls, leading to data breach or fraud.</t>
  </si>
  <si>
    <t xml:space="preserve">IT / Cyber </t>
  </si>
  <si>
    <t>Corrective Action</t>
  </si>
  <si>
    <t>INC - 001</t>
  </si>
  <si>
    <t>Mitigate</t>
  </si>
  <si>
    <t>MFA enabled, quarterly access review, SIEM monitoring</t>
  </si>
  <si>
    <t>Open</t>
  </si>
  <si>
    <t>Mohit</t>
  </si>
  <si>
    <t>Kavita</t>
  </si>
  <si>
    <r>
      <t xml:space="preserve">Impact 
Level
</t>
    </r>
    <r>
      <rPr>
        <b/>
        <sz val="9"/>
        <color theme="4" tint="-0.499984740745262"/>
        <rFont val="Century Gothic"/>
        <family val="2"/>
      </rPr>
      <t>Rate 
1 (LOW) to 
5 (HIGH)</t>
    </r>
  </si>
  <si>
    <r>
      <t xml:space="preserve">Likelihood Level
</t>
    </r>
    <r>
      <rPr>
        <b/>
        <sz val="9"/>
        <color theme="4" tint="-0.499984740745262"/>
        <rFont val="Century Gothic"/>
        <family val="2"/>
      </rPr>
      <t>Rate 
1 (LOW) to 
5 (HIGH)</t>
    </r>
  </si>
  <si>
    <r>
      <t xml:space="preserve">Priority 
Level
</t>
    </r>
    <r>
      <rPr>
        <b/>
        <sz val="9"/>
        <color theme="4" tint="-0.499984740745262"/>
        <rFont val="Century Gothic"/>
        <family val="2"/>
      </rPr>
      <t xml:space="preserve">Impact x Likelihod
Address the highest first. </t>
    </r>
  </si>
  <si>
    <t>INC - 002</t>
  </si>
  <si>
    <t>INC - 003</t>
  </si>
  <si>
    <t>INC - 004</t>
  </si>
  <si>
    <t>INC - 005</t>
  </si>
  <si>
    <t>INC - 006</t>
  </si>
  <si>
    <t>INC - 007</t>
  </si>
  <si>
    <t>INC - 008</t>
  </si>
  <si>
    <t>INC - 009</t>
  </si>
  <si>
    <t>Risk of penalties and reputational damage due to non-compliance with applicable data protection regulations (e.g., local privacy laws).</t>
  </si>
  <si>
    <t>Compliance</t>
  </si>
  <si>
    <t>Privacy policy, periodic compliance audits</t>
  </si>
  <si>
    <t>Risk of business interruption due to failure or downtime of critical outsourced service providers.</t>
  </si>
  <si>
    <t>Third-Party</t>
  </si>
  <si>
    <t>SLA clauses, BCP review, redundancy vendor arrangement</t>
  </si>
  <si>
    <t>Risk of material misstatement in financial reports due to inadequate review controls or system errors.</t>
  </si>
  <si>
    <t>Internal audit review</t>
  </si>
  <si>
    <t>Risk of operational disruption due to high attrition in specialized or leadership roles.</t>
  </si>
  <si>
    <t>Succession planning, retention bonuses, cross-training</t>
  </si>
  <si>
    <t xml:space="preserve">Financial </t>
  </si>
  <si>
    <t xml:space="preserve">Strategic </t>
  </si>
  <si>
    <t>Risk of credential compromise or financial loss due to phishing attacks targeting employees.</t>
  </si>
  <si>
    <t>Email filtering, phishing simulations, awareness training</t>
  </si>
  <si>
    <t>Risk of inability to resume critical operations within RTO during natural disasters or infrastructure outages.</t>
  </si>
  <si>
    <t>DR site, annual BCP testing</t>
  </si>
  <si>
    <t>Risk of sensitive customer data exposure due to improper cloud storage configuration</t>
  </si>
  <si>
    <t>Encryption, access control</t>
  </si>
  <si>
    <t>Risk of short-term liquidity constraints due to delayed client payments impacting operational cash flow</t>
  </si>
  <si>
    <t xml:space="preserve">Operational </t>
  </si>
  <si>
    <t>Credit control policy</t>
  </si>
  <si>
    <t>Accept</t>
  </si>
  <si>
    <t>Escalate</t>
  </si>
  <si>
    <t>Avoid</t>
  </si>
  <si>
    <t>Transfer</t>
  </si>
  <si>
    <t>In-progress</t>
  </si>
  <si>
    <t>Closed</t>
  </si>
  <si>
    <t>Lata</t>
  </si>
  <si>
    <t>Arun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</si>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</sst>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4" tint="-0.499984740745262"/>
      <name val="Century Gothic"/>
      <family val="2"/>
    </font>
    <font>
      <b/>
      <sz val="9"/>
      <color theme="4" tint="-0.499984740745262"/>
      <name val="Century Gothic"/>
      <family val="2"/>
    </font>
    <font>
      <sz val="8"/>
      <name val="Calibri"/>
      <family val="2"/>
      <scheme val="minor"/>
    </font>
    <font>
      <b/>
      <u/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/>
    <xf numFmtId="0" fontId="0" fillId="4" borderId="7" xfId="0" applyFill="1" applyBorder="1"/>
    <xf numFmtId="0" fontId="0" fillId="5" borderId="7" xfId="0" applyFill="1" applyBorder="1"/>
    <xf numFmtId="0" fontId="0" fillId="6" borderId="7" xfId="0" applyFill="1" applyBorder="1"/>
    <xf numFmtId="0" fontId="0" fillId="7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10" xfId="0" applyFill="1" applyBorder="1"/>
    <xf numFmtId="0" fontId="0" fillId="8" borderId="11" xfId="0" applyFill="1" applyBorder="1" applyAlignment="1">
      <alignment horizontal="center" vertical="center" textRotation="90"/>
    </xf>
    <xf numFmtId="0" fontId="0" fillId="8" borderId="12" xfId="0" applyFill="1" applyBorder="1" applyAlignment="1">
      <alignment horizontal="center" vertical="center" textRotation="90"/>
    </xf>
    <xf numFmtId="0" fontId="0" fillId="8" borderId="13" xfId="0" applyFill="1" applyBorder="1" applyAlignment="1">
      <alignment horizontal="center" vertical="center" textRotation="90"/>
    </xf>
    <xf numFmtId="0" fontId="0" fillId="8" borderId="1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vertical="top" wrapText="1"/>
    </xf>
    <xf numFmtId="0" fontId="3" fillId="0" borderId="7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5" fillId="8" borderId="1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14" fontId="0" fillId="0" borderId="7" xfId="0" applyNumberForma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1" fillId="0" borderId="7" xfId="0" applyFont="1" applyBorder="1" applyAlignment="1">
      <alignment horizontal="left" vertical="top"/>
    </xf>
    <xf numFmtId="0" fontId="1" fillId="6" borderId="7" xfId="0" applyFont="1" applyFill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EFA7-14F1-4F06-911D-EB4B32FA74EE}">
  <dimension ref="A1:O23"/>
  <sheetViews>
    <sheetView showGridLines="0" tabSelected="1" workbookViewId="0">
      <selection sqref="A1:G2"/>
    </sheetView>
  </sheetViews>
  <sheetFormatPr defaultRowHeight="14.5" x14ac:dyDescent="0.35"/>
  <cols>
    <col min="1" max="1" width="13.453125" customWidth="1"/>
    <col min="2" max="2" width="46.08984375" customWidth="1"/>
    <col min="3" max="3" width="17.36328125" style="43" customWidth="1"/>
    <col min="4" max="5" width="12.54296875" style="43" customWidth="1"/>
    <col min="6" max="6" width="14.453125" style="43" customWidth="1"/>
    <col min="7" max="7" width="31.453125" style="43" customWidth="1"/>
    <col min="8" max="8" width="52.1796875" style="44" customWidth="1"/>
    <col min="9" max="9" width="14" customWidth="1"/>
    <col min="10" max="10" width="16.81640625" customWidth="1"/>
    <col min="11" max="11" width="15.453125" customWidth="1"/>
    <col min="12" max="12" width="14.36328125" customWidth="1"/>
    <col min="13" max="13" width="31.08984375" customWidth="1"/>
  </cols>
  <sheetData>
    <row r="1" spans="1:15" ht="21" x14ac:dyDescent="0.35">
      <c r="A1" s="59" t="s">
        <v>0</v>
      </c>
      <c r="B1" s="59"/>
      <c r="C1" s="59"/>
      <c r="D1" s="59"/>
      <c r="E1" s="59"/>
      <c r="F1" s="59"/>
      <c r="G1" s="59"/>
      <c r="H1" s="49"/>
    </row>
    <row r="2" spans="1:15" ht="21" x14ac:dyDescent="0.35">
      <c r="A2" s="59"/>
      <c r="B2" s="59"/>
      <c r="C2" s="59"/>
      <c r="D2" s="59"/>
      <c r="E2" s="59"/>
      <c r="F2" s="59"/>
      <c r="G2" s="59"/>
      <c r="H2" s="49"/>
    </row>
    <row r="3" spans="1:15" ht="15" thickBot="1" x14ac:dyDescent="0.4"/>
    <row r="4" spans="1:15" s="53" customFormat="1" ht="77.5" customHeight="1" x14ac:dyDescent="0.35">
      <c r="A4" s="50" t="s">
        <v>15</v>
      </c>
      <c r="B4" s="50" t="s">
        <v>16</v>
      </c>
      <c r="C4" s="51" t="s">
        <v>23</v>
      </c>
      <c r="D4" s="50" t="s">
        <v>33</v>
      </c>
      <c r="E4" s="50" t="s">
        <v>34</v>
      </c>
      <c r="F4" s="50" t="s">
        <v>35</v>
      </c>
      <c r="G4" s="51" t="s">
        <v>21</v>
      </c>
      <c r="H4" s="50" t="s">
        <v>26</v>
      </c>
      <c r="I4" s="50" t="s">
        <v>17</v>
      </c>
      <c r="J4" s="50" t="s">
        <v>18</v>
      </c>
      <c r="K4" s="50" t="s">
        <v>19</v>
      </c>
      <c r="L4" s="50" t="s">
        <v>20</v>
      </c>
      <c r="M4" s="50" t="s">
        <v>22</v>
      </c>
      <c r="N4" s="52"/>
      <c r="O4" s="52"/>
    </row>
    <row r="5" spans="1:15" ht="41.5" customHeight="1" x14ac:dyDescent="0.35">
      <c r="A5" s="56" t="s">
        <v>27</v>
      </c>
      <c r="B5" s="48" t="s">
        <v>24</v>
      </c>
      <c r="C5" s="55" t="s">
        <v>25</v>
      </c>
      <c r="D5" s="46">
        <v>5</v>
      </c>
      <c r="E5" s="46">
        <v>4</v>
      </c>
      <c r="F5" s="57">
        <f>PRODUCT(D5,E5)</f>
        <v>20</v>
      </c>
      <c r="G5" s="57" t="s">
        <v>28</v>
      </c>
      <c r="H5" s="47" t="s">
        <v>29</v>
      </c>
      <c r="I5" s="57" t="s">
        <v>30</v>
      </c>
      <c r="J5" s="46" t="s">
        <v>32</v>
      </c>
      <c r="K5" s="54">
        <v>46001</v>
      </c>
      <c r="L5" s="54">
        <v>45700</v>
      </c>
      <c r="M5" s="2"/>
    </row>
    <row r="6" spans="1:15" ht="39.5" x14ac:dyDescent="0.35">
      <c r="A6" s="56" t="s">
        <v>36</v>
      </c>
      <c r="B6" s="48" t="s">
        <v>44</v>
      </c>
      <c r="C6" s="55" t="s">
        <v>45</v>
      </c>
      <c r="D6" s="46">
        <v>5</v>
      </c>
      <c r="E6" s="46">
        <v>3</v>
      </c>
      <c r="F6" s="58">
        <f>PRODUCT(D6,E6)</f>
        <v>15</v>
      </c>
      <c r="G6" s="57" t="s">
        <v>66</v>
      </c>
      <c r="H6" s="45" t="s">
        <v>46</v>
      </c>
      <c r="I6" s="57" t="s">
        <v>69</v>
      </c>
      <c r="J6" s="46" t="s">
        <v>31</v>
      </c>
      <c r="K6" s="46" t="s">
        <v>73</v>
      </c>
      <c r="L6" s="54">
        <v>45700</v>
      </c>
      <c r="M6" s="2"/>
    </row>
    <row r="7" spans="1:15" ht="26.5" x14ac:dyDescent="0.35">
      <c r="A7" s="56" t="s">
        <v>37</v>
      </c>
      <c r="B7" s="48" t="s">
        <v>47</v>
      </c>
      <c r="C7" s="55" t="s">
        <v>48</v>
      </c>
      <c r="D7" s="46">
        <v>4</v>
      </c>
      <c r="E7" s="46">
        <v>4</v>
      </c>
      <c r="F7" s="58">
        <f>PRODUCT(D7,E7)</f>
        <v>16</v>
      </c>
      <c r="G7" s="57" t="s">
        <v>28</v>
      </c>
      <c r="H7" s="45" t="s">
        <v>49</v>
      </c>
      <c r="I7" s="57" t="s">
        <v>70</v>
      </c>
      <c r="J7" s="46" t="s">
        <v>32</v>
      </c>
      <c r="K7" s="46" t="s">
        <v>74</v>
      </c>
      <c r="L7" s="54">
        <v>45700</v>
      </c>
      <c r="M7" s="2"/>
    </row>
    <row r="8" spans="1:15" ht="26.5" x14ac:dyDescent="0.35">
      <c r="A8" s="56" t="s">
        <v>38</v>
      </c>
      <c r="B8" s="48" t="s">
        <v>50</v>
      </c>
      <c r="C8" s="55" t="s">
        <v>54</v>
      </c>
      <c r="D8" s="46">
        <v>5</v>
      </c>
      <c r="E8" s="46">
        <v>4</v>
      </c>
      <c r="F8" s="57">
        <f>PRODUCT(D8,E8)</f>
        <v>20</v>
      </c>
      <c r="G8" s="57" t="s">
        <v>65</v>
      </c>
      <c r="H8" s="45" t="s">
        <v>51</v>
      </c>
      <c r="I8" s="57" t="s">
        <v>30</v>
      </c>
      <c r="J8" s="46" t="s">
        <v>71</v>
      </c>
      <c r="K8" s="46" t="s">
        <v>75</v>
      </c>
      <c r="L8" s="54">
        <v>45700</v>
      </c>
      <c r="M8" s="2"/>
    </row>
    <row r="9" spans="1:15" ht="26.5" x14ac:dyDescent="0.35">
      <c r="A9" s="45" t="s">
        <v>39</v>
      </c>
      <c r="B9" s="48" t="s">
        <v>52</v>
      </c>
      <c r="C9" s="55" t="s">
        <v>55</v>
      </c>
      <c r="D9" s="46">
        <v>4</v>
      </c>
      <c r="E9" s="46">
        <v>3</v>
      </c>
      <c r="F9" s="57">
        <f>PRODUCT(D9,E9)</f>
        <v>12</v>
      </c>
      <c r="G9" s="57" t="s">
        <v>67</v>
      </c>
      <c r="H9" s="45" t="s">
        <v>53</v>
      </c>
      <c r="I9" s="57" t="s">
        <v>69</v>
      </c>
      <c r="J9" s="46" t="s">
        <v>72</v>
      </c>
      <c r="K9" s="46" t="s">
        <v>76</v>
      </c>
      <c r="L9" s="54">
        <v>45700</v>
      </c>
      <c r="M9" s="2"/>
    </row>
    <row r="10" spans="1:15" ht="26.5" x14ac:dyDescent="0.35">
      <c r="A10" s="45" t="s">
        <v>40</v>
      </c>
      <c r="B10" s="48" t="s">
        <v>56</v>
      </c>
      <c r="C10" s="55" t="s">
        <v>25</v>
      </c>
      <c r="D10" s="46">
        <v>5</v>
      </c>
      <c r="E10" s="46">
        <v>4</v>
      </c>
      <c r="F10" s="57">
        <f>PRODUCT(D10,E10)</f>
        <v>20</v>
      </c>
      <c r="G10" s="57" t="s">
        <v>28</v>
      </c>
      <c r="H10" s="45" t="s">
        <v>57</v>
      </c>
      <c r="I10" s="57" t="s">
        <v>69</v>
      </c>
      <c r="J10" s="46" t="s">
        <v>72</v>
      </c>
      <c r="K10" s="46" t="s">
        <v>77</v>
      </c>
      <c r="L10" s="54">
        <v>45700</v>
      </c>
      <c r="M10" s="2"/>
    </row>
    <row r="11" spans="1:15" ht="26.5" x14ac:dyDescent="0.35">
      <c r="A11" s="45" t="s">
        <v>41</v>
      </c>
      <c r="B11" s="48" t="s">
        <v>58</v>
      </c>
      <c r="C11" s="55" t="s">
        <v>63</v>
      </c>
      <c r="D11" s="46">
        <v>5</v>
      </c>
      <c r="E11" s="46">
        <v>2</v>
      </c>
      <c r="F11" s="57">
        <f>PRODUCT(D11,E11)</f>
        <v>10</v>
      </c>
      <c r="G11" s="57" t="s">
        <v>68</v>
      </c>
      <c r="H11" s="45" t="s">
        <v>59</v>
      </c>
      <c r="I11" s="57" t="s">
        <v>70</v>
      </c>
      <c r="J11" s="46" t="s">
        <v>71</v>
      </c>
      <c r="K11" s="46" t="s">
        <v>78</v>
      </c>
      <c r="L11" s="54">
        <v>45700</v>
      </c>
      <c r="M11" s="2"/>
    </row>
    <row r="12" spans="1:15" ht="26.5" x14ac:dyDescent="0.35">
      <c r="A12" s="45" t="s">
        <v>42</v>
      </c>
      <c r="B12" s="48" t="s">
        <v>60</v>
      </c>
      <c r="C12" s="55" t="s">
        <v>25</v>
      </c>
      <c r="D12" s="46">
        <v>5</v>
      </c>
      <c r="E12" s="46">
        <v>4</v>
      </c>
      <c r="F12" s="57">
        <f>PRODUCT(D12,E12)</f>
        <v>20</v>
      </c>
      <c r="G12" s="57" t="s">
        <v>28</v>
      </c>
      <c r="H12" s="45" t="s">
        <v>61</v>
      </c>
      <c r="I12" s="57" t="s">
        <v>30</v>
      </c>
      <c r="J12" s="46" t="s">
        <v>31</v>
      </c>
      <c r="K12" s="46" t="s">
        <v>79</v>
      </c>
      <c r="L12" s="54">
        <v>45700</v>
      </c>
      <c r="M12" s="2"/>
    </row>
    <row r="13" spans="1:15" ht="26.5" x14ac:dyDescent="0.35">
      <c r="A13" s="45" t="s">
        <v>43</v>
      </c>
      <c r="B13" s="48" t="s">
        <v>62</v>
      </c>
      <c r="C13" s="55" t="s">
        <v>54</v>
      </c>
      <c r="D13" s="46">
        <v>4</v>
      </c>
      <c r="E13" s="46">
        <v>3</v>
      </c>
      <c r="F13" s="57">
        <f>PRODUCT(D13,E13)</f>
        <v>12</v>
      </c>
      <c r="G13" s="57" t="s">
        <v>65</v>
      </c>
      <c r="H13" s="45" t="s">
        <v>64</v>
      </c>
      <c r="I13" s="57" t="s">
        <v>30</v>
      </c>
      <c r="J13" s="46" t="s">
        <v>32</v>
      </c>
      <c r="K13" s="46" t="s">
        <v>80</v>
      </c>
      <c r="L13" s="54">
        <v>45700</v>
      </c>
      <c r="M13" s="2"/>
    </row>
    <row r="14" spans="1:15" x14ac:dyDescent="0.35">
      <c r="A14" s="45"/>
      <c r="B14" s="2"/>
      <c r="C14" s="46"/>
      <c r="D14" s="46"/>
      <c r="E14" s="46"/>
      <c r="F14" s="46"/>
      <c r="G14" s="46"/>
      <c r="H14" s="45"/>
      <c r="I14" s="45"/>
      <c r="J14" s="45"/>
      <c r="K14" s="45"/>
      <c r="L14" s="45"/>
      <c r="M14" s="2"/>
    </row>
    <row r="15" spans="1:15" x14ac:dyDescent="0.35">
      <c r="A15" s="2"/>
      <c r="B15" s="2"/>
      <c r="C15" s="46"/>
      <c r="D15" s="46"/>
      <c r="E15" s="46"/>
      <c r="F15" s="46"/>
      <c r="G15" s="46"/>
      <c r="H15" s="45"/>
      <c r="I15" s="2"/>
      <c r="J15" s="2"/>
      <c r="K15" s="2"/>
      <c r="L15" s="2"/>
      <c r="M15" s="2"/>
    </row>
    <row r="16" spans="1:15" x14ac:dyDescent="0.35">
      <c r="A16" s="2"/>
      <c r="B16" s="2"/>
      <c r="C16" s="46"/>
      <c r="D16" s="46"/>
      <c r="E16" s="46"/>
      <c r="F16" s="46"/>
      <c r="G16" s="46"/>
      <c r="H16" s="45"/>
      <c r="I16" s="2"/>
      <c r="J16" s="2"/>
      <c r="K16" s="2"/>
      <c r="L16" s="2"/>
      <c r="M16" s="2"/>
    </row>
    <row r="17" spans="1:13" x14ac:dyDescent="0.35">
      <c r="A17" s="2"/>
      <c r="B17" s="2"/>
      <c r="C17" s="46"/>
      <c r="D17" s="46"/>
      <c r="E17" s="46"/>
      <c r="F17" s="46"/>
      <c r="G17" s="46"/>
      <c r="H17" s="45"/>
      <c r="I17" s="2"/>
      <c r="J17" s="2"/>
      <c r="K17" s="2"/>
      <c r="L17" s="2"/>
      <c r="M17" s="2"/>
    </row>
    <row r="18" spans="1:13" x14ac:dyDescent="0.35">
      <c r="A18" s="2"/>
      <c r="B18" s="2"/>
      <c r="C18" s="46"/>
      <c r="D18" s="46"/>
      <c r="E18" s="46"/>
      <c r="F18" s="46"/>
      <c r="G18" s="46"/>
      <c r="H18" s="45"/>
      <c r="I18" s="2"/>
      <c r="J18" s="2"/>
      <c r="K18" s="2"/>
      <c r="L18" s="2"/>
      <c r="M18" s="2"/>
    </row>
    <row r="19" spans="1:13" x14ac:dyDescent="0.35">
      <c r="A19" s="2"/>
      <c r="B19" s="2"/>
      <c r="C19" s="46"/>
      <c r="D19" s="46"/>
      <c r="E19" s="46"/>
      <c r="F19" s="46"/>
      <c r="G19" s="46"/>
      <c r="H19" s="45"/>
      <c r="I19" s="2"/>
      <c r="J19" s="2"/>
      <c r="K19" s="2"/>
      <c r="L19" s="2"/>
      <c r="M19" s="2"/>
    </row>
    <row r="20" spans="1:13" x14ac:dyDescent="0.35">
      <c r="A20" s="2"/>
      <c r="B20" s="2"/>
      <c r="C20" s="46"/>
      <c r="D20" s="46"/>
      <c r="E20" s="46"/>
      <c r="F20" s="46"/>
      <c r="G20" s="46"/>
      <c r="H20" s="45"/>
      <c r="I20" s="2"/>
      <c r="J20" s="2"/>
      <c r="K20" s="2"/>
      <c r="L20" s="2"/>
      <c r="M20" s="2"/>
    </row>
    <row r="21" spans="1:13" x14ac:dyDescent="0.35">
      <c r="A21" s="2"/>
      <c r="B21" s="2"/>
      <c r="C21" s="46"/>
      <c r="D21" s="46"/>
      <c r="E21" s="46"/>
      <c r="F21" s="46"/>
      <c r="G21" s="46"/>
      <c r="H21" s="45"/>
      <c r="I21" s="2"/>
      <c r="J21" s="2"/>
      <c r="K21" s="2"/>
      <c r="L21" s="2"/>
      <c r="M21" s="2"/>
    </row>
    <row r="22" spans="1:13" x14ac:dyDescent="0.35">
      <c r="A22" s="2"/>
      <c r="B22" s="2"/>
      <c r="C22" s="46"/>
      <c r="D22" s="46"/>
      <c r="E22" s="46"/>
      <c r="F22" s="46"/>
      <c r="G22" s="46"/>
      <c r="H22" s="45"/>
      <c r="I22" s="2"/>
      <c r="J22" s="2"/>
      <c r="K22" s="2"/>
      <c r="L22" s="2"/>
      <c r="M22" s="2"/>
    </row>
    <row r="23" spans="1:13" x14ac:dyDescent="0.35">
      <c r="A23" s="2"/>
      <c r="B23" s="2"/>
      <c r="C23" s="46"/>
      <c r="D23" s="46"/>
      <c r="E23" s="46"/>
      <c r="F23" s="46"/>
      <c r="G23" s="46"/>
      <c r="H23" s="45"/>
      <c r="I23" s="2"/>
      <c r="J23" s="2"/>
      <c r="K23" s="2"/>
      <c r="L23" s="2"/>
      <c r="M23" s="2"/>
    </row>
  </sheetData>
  <mergeCells count="1">
    <mergeCell ref="A1:G2"/>
  </mergeCells>
  <phoneticPr fontId="7" type="noConversion"/>
  <conditionalFormatting sqref="F5:F13">
    <cfRule type="colorScale" priority="1">
      <colorScale>
        <cfvo type="min"/>
        <cfvo type="max"/>
        <color rgb="FF92D050"/>
        <color rgb="FFFF0000"/>
      </colorScale>
    </cfRule>
  </conditionalFormatting>
  <dataValidations count="6">
    <dataValidation type="whole" allowBlank="1" showInputMessage="1" showErrorMessage="1" sqref="D4" xr:uid="{CD2102C4-CC2A-4D2E-A3DE-F3F096F1FCC5}">
      <formula1>1</formula1>
      <formula2>5</formula2>
    </dataValidation>
    <dataValidation type="list" allowBlank="1" showInputMessage="1" showErrorMessage="1" sqref="D5:E23" xr:uid="{553F8145-8F33-4BDC-AA6C-B3FA1B4C2F24}">
      <formula1>"1,2,3,4,5"</formula1>
    </dataValidation>
    <dataValidation type="list" allowBlank="1" showInputMessage="1" showErrorMessage="1" sqref="C5:C23" xr:uid="{E3C3B86C-6AD2-4664-8961-A64A9081E2B1}">
      <formula1>"Strategic , Operational , Financial , Compliance, IT / Cyber , Third-Party"</formula1>
    </dataValidation>
    <dataValidation type="list" allowBlank="1" showInputMessage="1" showErrorMessage="1" sqref="G5:G23" xr:uid="{E3573C34-554C-409D-9CDB-461C8900F08B}">
      <formula1>"Escalate, Avoid, Transfer, Mitigate, Accept"</formula1>
    </dataValidation>
    <dataValidation type="list" allowBlank="1" showInputMessage="1" showErrorMessage="1" sqref="I5:I23" xr:uid="{C74CCB00-29CA-480E-A502-4520786345A3}">
      <formula1>"Open, In-progress, Closed"</formula1>
    </dataValidation>
    <dataValidation type="list" allowBlank="1" showInputMessage="1" showErrorMessage="1" sqref="J5:J23" xr:uid="{A83607F7-B793-4076-98F7-12066723A3F3}">
      <formula1>"Arun, Kavita, Lata, Mohit"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9EDE-394D-4313-BAF1-99B1E4579AB8}">
  <dimension ref="A2:Q19"/>
  <sheetViews>
    <sheetView showGridLines="0" workbookViewId="0">
      <selection activeCell="A2" sqref="A2:E2"/>
    </sheetView>
  </sheetViews>
  <sheetFormatPr defaultRowHeight="14.5" x14ac:dyDescent="0.35"/>
  <cols>
    <col min="1" max="1" width="13" customWidth="1"/>
    <col min="2" max="2" width="2.08984375" customWidth="1"/>
    <col min="3" max="3" width="6.1796875" customWidth="1"/>
    <col min="4" max="8" width="6.6328125" customWidth="1"/>
    <col min="15" max="15" width="7" customWidth="1"/>
    <col min="17" max="17" width="15.54296875" customWidth="1"/>
  </cols>
  <sheetData>
    <row r="2" spans="1:17" ht="27.5" customHeight="1" x14ac:dyDescent="0.35">
      <c r="A2" s="60" t="s">
        <v>14</v>
      </c>
      <c r="B2" s="60"/>
      <c r="C2" s="60"/>
      <c r="D2" s="60"/>
      <c r="E2" s="60"/>
    </row>
    <row r="3" spans="1:17" ht="15" thickBot="1" x14ac:dyDescent="0.4"/>
    <row r="4" spans="1:17" ht="30" customHeight="1" x14ac:dyDescent="0.35">
      <c r="H4" s="10" t="s">
        <v>2</v>
      </c>
      <c r="I4" s="8">
        <v>5</v>
      </c>
      <c r="J4" s="3">
        <v>5</v>
      </c>
      <c r="K4" s="4">
        <v>10</v>
      </c>
      <c r="L4" s="5">
        <v>15</v>
      </c>
      <c r="M4" s="6">
        <v>20</v>
      </c>
      <c r="N4" s="6">
        <v>25</v>
      </c>
    </row>
    <row r="5" spans="1:17" ht="30.5" customHeight="1" x14ac:dyDescent="0.35">
      <c r="H5" s="11"/>
      <c r="I5" s="8">
        <v>4</v>
      </c>
      <c r="J5" s="3">
        <v>4</v>
      </c>
      <c r="K5" s="4">
        <v>8</v>
      </c>
      <c r="L5" s="5">
        <v>12</v>
      </c>
      <c r="M5" s="5">
        <v>16</v>
      </c>
      <c r="N5" s="6">
        <v>20</v>
      </c>
    </row>
    <row r="6" spans="1:17" ht="30.5" customHeight="1" x14ac:dyDescent="0.35">
      <c r="H6" s="11"/>
      <c r="I6" s="8">
        <v>3</v>
      </c>
      <c r="J6" s="3">
        <v>3</v>
      </c>
      <c r="K6" s="4">
        <v>6</v>
      </c>
      <c r="L6" s="4">
        <v>9</v>
      </c>
      <c r="M6" s="5">
        <v>12</v>
      </c>
      <c r="N6" s="5">
        <v>15</v>
      </c>
    </row>
    <row r="7" spans="1:17" ht="30.5" customHeight="1" x14ac:dyDescent="0.35">
      <c r="H7" s="11"/>
      <c r="I7" s="8">
        <v>2</v>
      </c>
      <c r="J7" s="3">
        <v>2</v>
      </c>
      <c r="K7" s="3">
        <v>4</v>
      </c>
      <c r="L7" s="4">
        <v>6</v>
      </c>
      <c r="M7" s="4">
        <v>8</v>
      </c>
      <c r="N7" s="4">
        <v>10</v>
      </c>
    </row>
    <row r="8" spans="1:17" ht="30" customHeight="1" x14ac:dyDescent="0.35">
      <c r="H8" s="11"/>
      <c r="I8" s="8">
        <v>1</v>
      </c>
      <c r="J8" s="3">
        <v>1</v>
      </c>
      <c r="K8" s="3">
        <v>2</v>
      </c>
      <c r="L8" s="3">
        <v>3</v>
      </c>
      <c r="M8" s="3">
        <v>4</v>
      </c>
      <c r="N8" s="3">
        <v>5</v>
      </c>
    </row>
    <row r="9" spans="1:17" ht="30.5" customHeight="1" thickBot="1" x14ac:dyDescent="0.4">
      <c r="H9" s="12"/>
      <c r="I9" s="9"/>
      <c r="J9" s="7">
        <v>1</v>
      </c>
      <c r="K9" s="7">
        <v>2</v>
      </c>
      <c r="L9" s="7">
        <v>3</v>
      </c>
      <c r="M9" s="7">
        <v>4</v>
      </c>
      <c r="N9" s="7">
        <v>5</v>
      </c>
    </row>
    <row r="10" spans="1:17" x14ac:dyDescent="0.35">
      <c r="H10" s="13"/>
      <c r="I10" s="14" t="s">
        <v>1</v>
      </c>
      <c r="J10" s="15"/>
      <c r="K10" s="15"/>
      <c r="L10" s="15"/>
      <c r="M10" s="15"/>
      <c r="N10" s="16"/>
    </row>
    <row r="11" spans="1:17" ht="2" customHeight="1" thickBot="1" x14ac:dyDescent="0.4">
      <c r="H11" s="17"/>
      <c r="I11" s="18"/>
      <c r="J11" s="19"/>
      <c r="K11" s="19"/>
      <c r="L11" s="19"/>
      <c r="M11" s="19"/>
      <c r="N11" s="20"/>
    </row>
    <row r="12" spans="1:17" x14ac:dyDescent="0.35">
      <c r="O12" s="1"/>
      <c r="P12" s="1"/>
      <c r="Q12" s="1"/>
    </row>
    <row r="13" spans="1:17" ht="15" thickBot="1" x14ac:dyDescent="0.4">
      <c r="O13" s="1"/>
      <c r="P13" s="1"/>
      <c r="Q13" s="1"/>
    </row>
    <row r="14" spans="1:17" ht="15" thickBot="1" x14ac:dyDescent="0.4">
      <c r="C14" s="21" t="s">
        <v>3</v>
      </c>
      <c r="D14" s="22"/>
      <c r="E14" s="22"/>
      <c r="F14" s="23"/>
      <c r="O14" s="1"/>
      <c r="P14" s="32" t="s">
        <v>8</v>
      </c>
      <c r="Q14" s="33"/>
    </row>
    <row r="15" spans="1:17" x14ac:dyDescent="0.35">
      <c r="C15" s="37">
        <v>1</v>
      </c>
      <c r="D15" s="30" t="s">
        <v>6</v>
      </c>
      <c r="E15" s="30"/>
      <c r="F15" s="31"/>
      <c r="G15" s="1"/>
      <c r="O15" s="1"/>
      <c r="P15" s="40">
        <v>1</v>
      </c>
      <c r="Q15" s="34" t="s">
        <v>9</v>
      </c>
    </row>
    <row r="16" spans="1:17" x14ac:dyDescent="0.35">
      <c r="C16" s="38">
        <v>2</v>
      </c>
      <c r="D16" s="28" t="s">
        <v>7</v>
      </c>
      <c r="E16" s="28"/>
      <c r="F16" s="29"/>
      <c r="P16" s="41">
        <v>2</v>
      </c>
      <c r="Q16" s="35" t="s">
        <v>10</v>
      </c>
    </row>
    <row r="17" spans="3:17" x14ac:dyDescent="0.35">
      <c r="C17" s="38">
        <v>3</v>
      </c>
      <c r="D17" s="26" t="s">
        <v>4</v>
      </c>
      <c r="E17" s="26"/>
      <c r="F17" s="27"/>
      <c r="P17" s="41">
        <v>3</v>
      </c>
      <c r="Q17" s="35" t="s">
        <v>11</v>
      </c>
    </row>
    <row r="18" spans="3:17" ht="15" thickBot="1" x14ac:dyDescent="0.4">
      <c r="C18" s="39">
        <v>4</v>
      </c>
      <c r="D18" s="24" t="s">
        <v>5</v>
      </c>
      <c r="E18" s="24"/>
      <c r="F18" s="25"/>
      <c r="P18" s="41">
        <v>4</v>
      </c>
      <c r="Q18" s="35" t="s">
        <v>12</v>
      </c>
    </row>
    <row r="19" spans="3:17" ht="15" thickBot="1" x14ac:dyDescent="0.4">
      <c r="P19" s="42">
        <v>5</v>
      </c>
      <c r="Q19" s="36" t="s">
        <v>13</v>
      </c>
    </row>
  </sheetData>
  <mergeCells count="8">
    <mergeCell ref="A2:E2"/>
    <mergeCell ref="D18:F18"/>
    <mergeCell ref="D17:F17"/>
    <mergeCell ref="C14:F14"/>
    <mergeCell ref="P14:Q14"/>
    <mergeCell ref="H4:H9"/>
    <mergeCell ref="D15:F15"/>
    <mergeCell ref="D16:F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B315AF347D9A4FB1F03F97C5ACCEFB" ma:contentTypeVersion="12" ma:contentTypeDescription="Create a new document." ma:contentTypeScope="" ma:versionID="420c3c7abcd6f30a225ee3a9acbcf939">
  <xsd:schema xmlns:xsd="http://www.w3.org/2001/XMLSchema" xmlns:xs="http://www.w3.org/2001/XMLSchema" xmlns:p="http://schemas.microsoft.com/office/2006/metadata/properties" xmlns:ns3="13b07038-5e2d-4937-9f01-661d23b58796" targetNamespace="http://schemas.microsoft.com/office/2006/metadata/properties" ma:root="true" ma:fieldsID="03b597646434475ae3c054371f7fa99a" ns3:_="">
    <xsd:import namespace="13b07038-5e2d-4937-9f01-661d23b587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Description0" minOccurs="0"/>
                <xsd:element ref="ns3:Keywords0" minOccurs="0"/>
                <xsd:element ref="ns3:Migration_Comments0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07038-5e2d-4937-9f01-661d23b587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Description0" ma:index="9" nillable="true" ma:displayName="Description" ma:internalName="Description0">
      <xsd:simpleType>
        <xsd:restriction base="dms:Text"/>
      </xsd:simpleType>
    </xsd:element>
    <xsd:element name="Keywords0" ma:index="10" nillable="true" ma:displayName="Keywords" ma:internalName="Keywords0">
      <xsd:simpleType>
        <xsd:restriction base="dms:Text"/>
      </xsd:simpleType>
    </xsd:element>
    <xsd:element name="Migration_Comments0" ma:index="11" nillable="true" ma:displayName="Migration_Comments" ma:internalName="Migration_Comments0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_Comments0 xmlns="13b07038-5e2d-4937-9f01-661d23b58796" xsi:nil="true"/>
    <Keywords0 xmlns="13b07038-5e2d-4937-9f01-661d23b58796" xsi:nil="true"/>
    <Description0 xmlns="13b07038-5e2d-4937-9f01-661d23b58796" xsi:nil="true"/>
    <_activity xmlns="13b07038-5e2d-4937-9f01-661d23b58796" xsi:nil="true"/>
  </documentManagement>
</p:properties>
</file>

<file path=customXml/itemProps1.xml><?xml version="1.0" encoding="utf-8"?>
<ds:datastoreItem xmlns:ds="http://schemas.openxmlformats.org/officeDocument/2006/customXml" ds:itemID="{BA194DD2-67FB-4519-87AF-C24757EE7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07038-5e2d-4937-9f01-661d23b58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B6ECFA-B8B9-400D-9E29-FC2473A41A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A83481-B8CD-4905-96B8-78ECB6CC7DF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www.w3.org/XML/1998/namespace"/>
    <ds:schemaRef ds:uri="13b07038-5e2d-4937-9f01-661d23b58796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Scale and Key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Dinky Chauhan</dc:creator>
  <cp:lastModifiedBy>Dinky Chauhan</cp:lastModifiedBy>
  <dcterms:created xsi:type="dcterms:W3CDTF">2026-02-25T11:52:59Z</dcterms:created>
  <dcterms:modified xsi:type="dcterms:W3CDTF">2026-02-25T18:51:39Z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0x01010053B315AF347D9A4FB1F03F97C5ACCEFB</vt:lpwstr>
  </property>
</Properties>
</file>